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ocuments\Bastan\Processing\Steve\"/>
    </mc:Choice>
  </mc:AlternateContent>
  <xr:revisionPtr revIDLastSave="0" documentId="13_ncr:1_{2030FD8C-74E1-42D1-AB48-7E6E9DCAD296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ta" sheetId="1" r:id="rId1"/>
    <sheet name="Pivort" sheetId="9" r:id="rId2"/>
    <sheet name="Customer Center Report" sheetId="2" r:id="rId3"/>
  </sheets>
  <definedNames>
    <definedName name="_xlcn.WorksheetConnection_Steve_With_Predictions.xlsxCustomer1" hidden="1">Customer[]</definedName>
    <definedName name="_xlcn.WorksheetConnection_Steve_With_Predictions.xlsxTransaction1" hidden="1">Transaction[]</definedName>
  </definedNames>
  <calcPr calcId="0"/>
  <pivotCaches>
    <pivotCache cacheId="41" r:id="rId4"/>
  </pivotCaches>
  <extLst>
    <ext xmlns:x15="http://schemas.microsoft.com/office/spreadsheetml/2010/11/main" uri="{FCE2AD5D-F65C-4FA6-A056-5C36A1767C68}">
      <x15:dataModel>
        <x15:modelTables>
          <x15:modelTable id="Customer" name="Customer" connection="WorksheetConnection_Steve_With_Predictions.xlsx!Customer"/>
          <x15:modelTable id="Transaction" name="Transaction" connection="WorksheetConnection_Steve_With_Predictions.xlsx!Transaction"/>
        </x15:modelTables>
        <x15:modelRelationships>
          <x15:modelRelationship fromTable="Transaction" fromColumn="Transaction ID" toTable="Customer" toColumn="Customer ID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0BE4A35-860D-448C-BEEE-6A738C0044B1}" keepAlive="1" name="Query - Transaction" description="Connection to the 'Transaction' query in the workbook." type="5" refreshedVersion="8" background="1" saveData="1">
    <dbPr connection="Provider=Microsoft.Mashup.OleDb.1;Data Source=$Workbook$;Location=Transaction;Extended Properties=&quot;&quot;" command="SELECT * FROM [Transaction]"/>
  </connection>
  <connection id="2" xr16:uid="{4D0A80C5-C3B2-41F2-9D02-A4A4F3BA33B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A8F58972-955B-4DF5-A909-AA97133B2AE7}" name="WorksheetConnection_Steve_With_Predictions.xlsx!Customer" type="102" refreshedVersion="8" minRefreshableVersion="5">
    <extLst>
      <ext xmlns:x15="http://schemas.microsoft.com/office/spreadsheetml/2010/11/main" uri="{DE250136-89BD-433C-8126-D09CA5730AF9}">
        <x15:connection id="Customer">
          <x15:rangePr sourceName="_xlcn.WorksheetConnection_Steve_With_Predictions.xlsxCustomer1"/>
        </x15:connection>
      </ext>
    </extLst>
  </connection>
  <connection id="4" xr16:uid="{D0353FD6-646E-4CE2-9FA0-E2DB2A15D840}" name="WorksheetConnection_Steve_With_Predictions.xlsx!Transaction" type="102" refreshedVersion="8" minRefreshableVersion="5">
    <extLst>
      <ext xmlns:x15="http://schemas.microsoft.com/office/spreadsheetml/2010/11/main" uri="{DE250136-89BD-433C-8126-D09CA5730AF9}">
        <x15:connection id="Transaction" autoDelete="1">
          <x15:rangePr sourceName="_xlcn.WorksheetConnection_Steve_With_Predictions.xlsxTransaction1"/>
        </x15:connection>
      </ext>
    </extLst>
  </connection>
</connections>
</file>

<file path=xl/sharedStrings.xml><?xml version="1.0" encoding="utf-8"?>
<sst xmlns="http://schemas.openxmlformats.org/spreadsheetml/2006/main" count="260" uniqueCount="96">
  <si>
    <t>Transaction ID</t>
  </si>
  <si>
    <t>Transaction Date</t>
  </si>
  <si>
    <t>Amount (TZS)</t>
  </si>
  <si>
    <t>Vendor Type</t>
  </si>
  <si>
    <t>Payment Method</t>
  </si>
  <si>
    <t>Department Code</t>
  </si>
  <si>
    <t>Procurement Method</t>
  </si>
  <si>
    <t>Approval Level</t>
  </si>
  <si>
    <t>Account Category</t>
  </si>
  <si>
    <t>Fraud Label</t>
  </si>
  <si>
    <t>Audit Report ID</t>
  </si>
  <si>
    <t>ML_Prediction</t>
  </si>
  <si>
    <t>ML_Confidence</t>
  </si>
  <si>
    <t>Business_Risk</t>
  </si>
  <si>
    <t>Final_Decision</t>
  </si>
  <si>
    <t>TXN-2023-001</t>
  </si>
  <si>
    <t>Registered Vendor</t>
  </si>
  <si>
    <t>EFT</t>
  </si>
  <si>
    <t>FIN-01</t>
  </si>
  <si>
    <t>Open Tender</t>
  </si>
  <si>
    <t>Senior Officer</t>
  </si>
  <si>
    <t>Office Supplies</t>
  </si>
  <si>
    <t>LOW RISK</t>
  </si>
  <si>
    <t>TXN-2022-045</t>
  </si>
  <si>
    <t>Individual</t>
  </si>
  <si>
    <t>Cash</t>
  </si>
  <si>
    <t>PROC-02</t>
  </si>
  <si>
    <t>Direct Purchase</t>
  </si>
  <si>
    <t>Junior Officer</t>
  </si>
  <si>
    <t>Capital Equipment</t>
  </si>
  <si>
    <t>AUDIT-2023-Q1</t>
  </si>
  <si>
    <t>HIGH RISK</t>
  </si>
  <si>
    <t>TXN-2021-128</t>
  </si>
  <si>
    <t>HR-01</t>
  </si>
  <si>
    <t>Director</t>
  </si>
  <si>
    <t>Salaries &amp; Wages</t>
  </si>
  <si>
    <t>TXN-2020-087</t>
  </si>
  <si>
    <t>Cheque</t>
  </si>
  <si>
    <t>Request for Quotation</t>
  </si>
  <si>
    <t>Professional Services</t>
  </si>
  <si>
    <t>MEDIUM RISK</t>
  </si>
  <si>
    <t>TXN-2023-156</t>
  </si>
  <si>
    <t>New Vendor</t>
  </si>
  <si>
    <t>AUDIT-2024-Q1</t>
  </si>
  <si>
    <t>TXN-2019-234</t>
  </si>
  <si>
    <t>Utilities</t>
  </si>
  <si>
    <t>TXN-2024-012</t>
  </si>
  <si>
    <t>PROC-01</t>
  </si>
  <si>
    <t>Travel &amp; Per Diem</t>
  </si>
  <si>
    <t>PENDING</t>
  </si>
  <si>
    <t>TXN-2018-189</t>
  </si>
  <si>
    <t>Training</t>
  </si>
  <si>
    <t>TXN-2022-267</t>
  </si>
  <si>
    <t>FIN-02</t>
  </si>
  <si>
    <t>Infrastructure</t>
  </si>
  <si>
    <t>TXN-2023-298</t>
  </si>
  <si>
    <t>TXN-2021-345</t>
  </si>
  <si>
    <t>AUDIT-2022-Q4</t>
  </si>
  <si>
    <t>TXN-2020-156</t>
  </si>
  <si>
    <t>TXN-2019-078</t>
  </si>
  <si>
    <t>Maintenance</t>
  </si>
  <si>
    <t>TXN-2024-045</t>
  </si>
  <si>
    <t>TXN-2017-267</t>
  </si>
  <si>
    <t>TXN-2023-178</t>
  </si>
  <si>
    <t>TXN-2022-389</t>
  </si>
  <si>
    <t>AUDIT-2023-Q2</t>
  </si>
  <si>
    <t>TXN-2021-056</t>
  </si>
  <si>
    <t>TXN-2020-234</t>
  </si>
  <si>
    <t>TXN-2023-267</t>
  </si>
  <si>
    <t>AUDIT-2023-Q3</t>
  </si>
  <si>
    <t>TXN-2023-312</t>
  </si>
  <si>
    <t>TXN-2022-156</t>
  </si>
  <si>
    <t>TXN-2021-289</t>
  </si>
  <si>
    <t>TXN-2020-198</t>
  </si>
  <si>
    <t>TXN-2023-423</t>
  </si>
  <si>
    <t>Customer ID</t>
  </si>
  <si>
    <t>Gender</t>
  </si>
  <si>
    <t>Age</t>
  </si>
  <si>
    <t>City</t>
  </si>
  <si>
    <t>C001</t>
  </si>
  <si>
    <t>Male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</si>
  <si>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</si>
  <si>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</si>
  <si>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</si>
  <si>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</si>
  <si>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</si>
  <si>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</si>
  <si>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</si>
  <si>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</si>
  <si>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</si>
  <si>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Female</t>
  </si>
  <si>
    <t>Dar es Salaam</t>
  </si>
  <si>
    <t>Arusha</t>
  </si>
  <si>
    <t>Dodoma</t>
  </si>
  <si>
    <t xml:space="preserve">  </t>
  </si>
  <si>
    <t>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</si>
</sst>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\ hh:mm:ss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03.603859143521" backgroundQuery="1" createdVersion="8" refreshedVersion="8" minRefreshableVersion="3" recordCount="0" supportSubquery="1" supportAdvancedDrill="1" xr:uid="{3BEB19DB-13F1-4042-A707-A9EEBBD27502}">
  <cacheSource type="external" connectionId="2"/>
  <cacheFields count="0"/>
  <cacheHierarchies count="23">
    <cacheHierarchy uniqueName="[Customer].[Customer ID]" caption="Customer ID" attribute="1" defaultMemberUniqueName="[Customer].[Customer ID].[All]" allUniqueName="[Customer].[Customer ID].[All]" dimensionUniqueName="[Customer]" displayFolder="" count="0" memberValueDatatype="130" unbalanced="0"/>
    <cacheHierarchy uniqueName="[Customer].[Gender]" caption="Gender" attribute="1" defaultMemberUniqueName="[Customer].[Gender].[All]" allUniqueName="[Customer].[Gender].[All]" dimensionUniqueName="[Customer]" displayFolder="" count="0" memberValueDatatype="130" unbalanced="0"/>
    <cacheHierarchy uniqueName="[Customer].[Age]" caption="Age" attribute="1" defaultMemberUniqueName="[Customer].[Age].[All]" allUniqueName="[Customer].[Ag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Transaction].[Transaction ID]" caption="Transaction ID" attribute="1" defaultMemberUniqueName="[Transaction].[Transaction ID].[All]" allUniqueName="[Transaction].[Transaction ID].[All]" dimensionUniqueName="[Transaction]" displayFolder="" count="0" memberValueDatatype="130" unbalanced="0"/>
    <cacheHierarchy uniqueName="[Transaction].[Transaction Date]" caption="Transaction Date" attribute="1" time="1" defaultMemberUniqueName="[Transaction].[Transaction Date].[All]" allUniqueName="[Transaction].[Transaction Date].[All]" dimensionUniqueName="[Transaction]" displayFolder="" count="0" memberValueDatatype="7" unbalanced="0"/>
    <cacheHierarchy uniqueName="[Transaction].[Amount (TZS)]" caption="Amount (TZS)" attribute="1" defaultMemberUniqueName="[Transaction].[Amount (TZS)].[All]" allUniqueName="[Transaction].[Amount (TZS)].[All]" dimensionUniqueName="[Transaction]" displayFolder="" count="0" memberValueDatatype="20" unbalanced="0"/>
    <cacheHierarchy uniqueName="[Transaction].[Vendor Type]" caption="Vendor Type" attribute="1" defaultMemberUniqueName="[Transaction].[Vendor Type].[All]" allUniqueName="[Transaction].[Vendor Type].[All]" dimensionUniqueName="[Transaction]" displayFolder="" count="0" memberValueDatatype="130" unbalanced="0"/>
    <cacheHierarchy uniqueName="[Transaction].[Payment Method]" caption="Payment Method" attribute="1" defaultMemberUniqueName="[Transaction].[Payment Method].[All]" allUniqueName="[Transaction].[Payment Method].[All]" dimensionUniqueName="[Transaction]" displayFolder="" count="0" memberValueDatatype="130" unbalanced="0"/>
    <cacheHierarchy uniqueName="[Transaction].[Department Code]" caption="Department Code" attribute="1" defaultMemberUniqueName="[Transaction].[Department Code].[All]" allUniqueName="[Transaction].[Department Code].[All]" dimensionUniqueName="[Transaction]" displayFolder="" count="0" memberValueDatatype="130" unbalanced="0"/>
    <cacheHierarchy uniqueName="[Transaction].[Procurement Method]" caption="Procurement Method" attribute="1" defaultMemberUniqueName="[Transaction].[Procurement Method].[All]" allUniqueName="[Transaction].[Procurement Method].[All]" dimensionUniqueName="[Transaction]" displayFolder="" count="0" memberValueDatatype="130" unbalanced="0"/>
    <cacheHierarchy uniqueName="[Transaction].[Approval Level]" caption="Approval Level" attribute="1" defaultMemberUniqueName="[Transaction].[Approval Level].[All]" allUniqueName="[Transaction].[Approval Level].[All]" dimensionUniqueName="[Transaction]" displayFolder="" count="0" memberValueDatatype="130" unbalanced="0"/>
    <cacheHierarchy uniqueName="[Transaction].[Account Category]" caption="Account Category" attribute="1" defaultMemberUniqueName="[Transaction].[Account Category].[All]" allUniqueName="[Transaction].[Account Category].[All]" dimensionUniqueName="[Transaction]" displayFolder="" count="0" memberValueDatatype="130" unbalanced="0"/>
    <cacheHierarchy uniqueName="[Transaction].[Fraud Label]" caption="Fraud Label" attribute="1" defaultMemberUniqueName="[Transaction].[Fraud Label].[All]" allUniqueName="[Transaction].[Fraud Label].[All]" dimensionUniqueName="[Transaction]" displayFolder="" count="0" memberValueDatatype="20" unbalanced="0"/>
    <cacheHierarchy uniqueName="[Transaction].[Audit Report ID]" caption="Audit Report ID" attribute="1" defaultMemberUniqueName="[Transaction].[Audit Report ID].[All]" allUniqueName="[Transaction].[Audit Report ID].[All]" dimensionUniqueName="[Transaction]" displayFolder="" count="0" memberValueDatatype="130" unbalanced="0"/>
    <cacheHierarchy uniqueName="[Transaction].[ML_Prediction]" caption="ML_Prediction" attribute="1" defaultMemberUniqueName="[Transaction].[ML_Prediction].[All]" allUniqueName="[Transaction].[ML_Prediction].[All]" dimensionUniqueName="[Transaction]" displayFolder="" count="0" memberValueDatatype="20" unbalanced="0"/>
    <cacheHierarchy uniqueName="[Transaction].[ML_Confidence]" caption="ML_Confidence" attribute="1" defaultMemberUniqueName="[Transaction].[ML_Confidence].[All]" allUniqueName="[Transaction].[ML_Confidence].[All]" dimensionUniqueName="[Transaction]" displayFolder="" count="0" memberValueDatatype="5" unbalanced="0"/>
    <cacheHierarchy uniqueName="[Transaction].[Business_Risk]" caption="Business_Risk" attribute="1" defaultMemberUniqueName="[Transaction].[Business_Risk].[All]" allUniqueName="[Transaction].[Business_Risk].[All]" dimensionUniqueName="[Transaction]" displayFolder="" count="0" memberValueDatatype="20" unbalanced="0"/>
    <cacheHierarchy uniqueName="[Transaction].[Final_Decision]" caption="Final_Decision" attribute="1" defaultMemberUniqueName="[Transaction].[Final_Decision].[All]" allUniqueName="[Transaction].[Final_Decision].[All]" dimensionUniqueName="[Transaction]" displayFolder="" count="0" memberValueDatatype="130" unbalanced="0"/>
    <cacheHierarchy uniqueName="[Measures].[__XL_Count Customer]" caption="__XL_Count Customer" measure="1" displayFolder="" measureGroup="Customer" count="0" hidden="1"/>
    <cacheHierarchy uniqueName="[Measures].[__XL_Count Transaction]" caption="__XL_Count Transaction" measure="1" displayFolder="" measureGroup="Transaction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name="Customer" uniqueName="[Customer]" caption="Customer"/>
    <dimension measure="1" name="Measures" uniqueName="[Measures]" caption="Measures"/>
    <dimension name="Transaction" uniqueName="[Transaction]" caption="Transaction"/>
  </dimensions>
  <measureGroups count="2">
    <measureGroup name="Customer" caption="Customer"/>
    <measureGroup name="Transaction" caption="Transaction"/>
  </measureGroups>
  <maps count="2">
    <map measureGroup="0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E88652-C181-42D4-A892-FE3FC6648F11}" name="PivotTable5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8" firstHeaderRow="1" firstDataRow="1" firstDataCol="0"/>
  <pivotHierarchies count="2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teve_With_Predictions.xlsx!Transaction">
        <x15:activeTabTopLevelEntity name="[Transaction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72663D-3D64-417E-B102-9EBA702D44A9}" name="Transaction" displayName="Transaction" ref="A5:P30" totalsRowShown="0" headerRowDxfId="0" headerRowBorderDxfId="2" tableBorderDxfId="3">
  <autoFilter ref="A5:P30" xr:uid="{F672663D-3D64-417E-B102-9EBA702D44A9}"/>
  <tableColumns count="16">
    <tableColumn id="16" xr3:uid="{D5611E23-3C12-4EDB-AD97-164307BE3931}" name="Number"/>
    <tableColumn id="1" xr3:uid="{CF1E7898-5AA7-454C-ABD6-7AD67DD2AC2B}" name="Transaction ID"/>
    <tableColumn id="2" xr3:uid="{A48C26A7-D1DA-46FB-AECA-A2EE5BEF8FAC}" name="Transaction Date" dataDxfId="1"/>
    <tableColumn id="3" xr3:uid="{D67CC700-C638-408E-9119-94ADE9086FCF}" name="Amount (TZS)"/>
    <tableColumn id="4" xr3:uid="{AA50DC37-C53F-4361-B637-4A01EAFAFDFE}" name="Vendor Type"/>
    <tableColumn id="5" xr3:uid="{C137D295-EE70-4F91-A7D0-6A5730CF43B6}" name="Payment Method"/>
    <tableColumn id="6" xr3:uid="{5B25AB82-2ACA-4F9E-B3FC-9E13682E7B3C}" name="Department Code"/>
    <tableColumn id="7" xr3:uid="{145EC874-3DB1-49D8-BEAB-2EF5CC82C6DC}" name="Procurement Method"/>
    <tableColumn id="8" xr3:uid="{AA2437EC-1D51-4323-A1AE-A0181CC53425}" name="Approval Level"/>
    <tableColumn id="9" xr3:uid="{66B1552F-8DFD-48D6-A978-F3B26652F12C}" name="Account Category"/>
    <tableColumn id="10" xr3:uid="{F9FF8E1F-ED45-4204-AAC1-70832FBF35B0}" name="Fraud Label"/>
    <tableColumn id="11" xr3:uid="{CCFB6EA2-DB33-432C-9520-D181934D1B28}" name="Audit Report ID"/>
    <tableColumn id="12" xr3:uid="{C3DD2B42-EFB9-48B5-A828-A356DD8B3694}" name="ML_Prediction"/>
    <tableColumn id="13" xr3:uid="{46054BF0-3A74-49A3-B89B-D1F453B950CA}" name="ML_Confidence"/>
    <tableColumn id="14" xr3:uid="{9603B60D-9F94-47FA-A5E3-F458C59EBD55}" name="Business_Risk"/>
    <tableColumn id="15" xr3:uid="{1F9B7783-0242-4F33-A92B-D066A314F0FD}" name="Final_Decis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466D23-CDC0-4FB9-AFDA-08395A0C88E4}" name="Customer" displayName="Customer" ref="T5:W15" totalsRowShown="0">
  <autoFilter ref="T5:W15" xr:uid="{43466D23-CDC0-4FB9-AFDA-08395A0C88E4}"/>
  <tableColumns count="4">
    <tableColumn id="1" xr3:uid="{621E6F7D-BFA3-4726-8253-9C7CA789CC5A}" name="Customer ID"/>
    <tableColumn id="2" xr3:uid="{D8931FBF-8784-43CE-B290-BCE6C7517482}" name="Gender"/>
    <tableColumn id="3" xr3:uid="{5557DCC5-9C11-46A5-949D-63BC041BCBE3}" name="Age"/>
    <tableColumn id="4" xr3:uid="{7E80D4B8-5875-423C-8F84-8B6B981CC1F2}" name="Cit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Slipstream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Custom 1">
      <a:majorFont>
        <a:latin typeface="Aptos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0"/>
  <sheetViews>
    <sheetView showGridLines="0" tabSelected="1" workbookViewId="0">
      <selection activeCell="A31" sqref="A31"/>
    </sheetView>
  </sheetViews>
  <sheetFormatPr defaultRowHeight="14.5" x14ac:dyDescent="0.35"/>
  <cols>
    <col min="1" max="1" width="17.54296875" bestFit="1" customWidth="1"/>
    <col min="2" max="2" width="19.7265625" bestFit="1" customWidth="1"/>
    <col min="3" max="3" width="16.81640625" bestFit="1" customWidth="1"/>
    <col min="4" max="4" width="16.1796875" bestFit="1" customWidth="1"/>
    <col min="5" max="5" width="20.08984375" bestFit="1" customWidth="1"/>
    <col min="6" max="6" width="20.453125" bestFit="1" customWidth="1"/>
    <col min="7" max="7" width="23.7265625" bestFit="1" customWidth="1"/>
    <col min="8" max="8" width="17.6328125" bestFit="1" customWidth="1"/>
    <col min="9" max="9" width="20.1796875" bestFit="1" customWidth="1"/>
    <col min="10" max="10" width="15" bestFit="1" customWidth="1"/>
    <col min="11" max="11" width="18.453125" bestFit="1" customWidth="1"/>
    <col min="12" max="12" width="17.54296875" bestFit="1" customWidth="1"/>
    <col min="13" max="13" width="18.36328125" bestFit="1" customWidth="1"/>
    <col min="14" max="14" width="16.90625" bestFit="1" customWidth="1"/>
    <col min="15" max="15" width="17.26953125" bestFit="1" customWidth="1"/>
    <col min="19" max="19" width="13.54296875" bestFit="1" customWidth="1"/>
    <col min="20" max="20" width="9.26953125" bestFit="1" customWidth="1"/>
    <col min="21" max="21" width="6.1796875" bestFit="1" customWidth="1"/>
    <col min="22" max="22" width="12.54296875" bestFit="1" customWidth="1"/>
  </cols>
  <sheetData>
    <row r="1" spans="1:23" s="3" customFormat="1" x14ac:dyDescent="0.35">
      <c r="A1" s="3" t="s">
        <v>94</v>
      </c>
    </row>
    <row r="2" spans="1:23" s="3" customFormat="1" x14ac:dyDescent="0.35"/>
    <row r="3" spans="1:23" s="3" customFormat="1" x14ac:dyDescent="0.35"/>
    <row r="5" spans="1:23" x14ac:dyDescent="0.35">
      <c r="A5" s="13" t="s">
        <v>95</v>
      </c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  <c r="G5" s="2" t="s">
        <v>5</v>
      </c>
      <c r="H5" s="2" t="s">
        <v>6</v>
      </c>
      <c r="I5" s="2" t="s">
        <v>7</v>
      </c>
      <c r="J5" s="2" t="s">
        <v>8</v>
      </c>
      <c r="K5" s="2" t="s">
        <v>9</v>
      </c>
      <c r="L5" s="2" t="s">
        <v>10</v>
      </c>
      <c r="M5" s="2" t="s">
        <v>11</v>
      </c>
      <c r="N5" s="2" t="s">
        <v>12</v>
      </c>
      <c r="O5" s="2" t="s">
        <v>13</v>
      </c>
      <c r="P5" s="2" t="s">
        <v>14</v>
      </c>
      <c r="T5" t="s">
        <v>75</v>
      </c>
      <c r="U5" t="s">
        <v>76</v>
      </c>
      <c r="V5" t="s">
        <v>77</v>
      </c>
      <c r="W5" t="s">
        <v>78</v>
      </c>
    </row>
    <row r="6" spans="1:23" x14ac:dyDescent="0.35">
      <c r="A6">
        <v>1</v>
      </c>
      <c r="B6" t="s">
        <v>15</v>
      </c>
      <c r="C6" s="1">
        <v>45000</v>
      </c>
      <c r="D6">
        <v>5250000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>
        <v>0</v>
      </c>
      <c r="M6">
        <v>0</v>
      </c>
      <c r="N6">
        <v>0.1850800995020721</v>
      </c>
      <c r="O6">
        <v>0</v>
      </c>
      <c r="P6" t="s">
        <v>22</v>
      </c>
      <c r="T6" t="s">
        <v>79</v>
      </c>
      <c r="U6" t="s">
        <v>80</v>
      </c>
      <c r="V6">
        <v>41</v>
      </c>
      <c r="W6" t="s">
        <v>91</v>
      </c>
    </row>
    <row r="7" spans="1:23" x14ac:dyDescent="0.35">
      <c r="A7">
        <v>2</v>
      </c>
      <c r="B7" t="s">
        <v>23</v>
      </c>
      <c r="C7" s="1">
        <v>44873</v>
      </c>
      <c r="D7">
        <v>182500000</v>
      </c>
      <c r="E7" t="s">
        <v>24</v>
      </c>
      <c r="F7" t="s">
        <v>25</v>
      </c>
      <c r="G7" t="s">
        <v>26</v>
      </c>
      <c r="H7" t="s">
        <v>27</v>
      </c>
      <c r="I7" t="s">
        <v>28</v>
      </c>
      <c r="J7" t="s">
        <v>29</v>
      </c>
      <c r="K7">
        <v>1</v>
      </c>
      <c r="L7" t="s">
        <v>30</v>
      </c>
      <c r="M7">
        <v>1</v>
      </c>
      <c r="N7">
        <v>0.78207844518184455</v>
      </c>
      <c r="O7">
        <v>4</v>
      </c>
      <c r="P7" t="s">
        <v>31</v>
      </c>
      <c r="T7" t="s">
        <v>81</v>
      </c>
      <c r="U7" t="s">
        <v>80</v>
      </c>
      <c r="V7">
        <v>33</v>
      </c>
      <c r="W7" t="s">
        <v>92</v>
      </c>
    </row>
    <row r="8" spans="1:23" x14ac:dyDescent="0.35">
      <c r="A8">
        <v>3</v>
      </c>
      <c r="B8" t="s">
        <v>32</v>
      </c>
      <c r="C8" s="1">
        <v>44398</v>
      </c>
      <c r="D8">
        <v>12750000</v>
      </c>
      <c r="E8" t="s">
        <v>16</v>
      </c>
      <c r="F8" t="s">
        <v>17</v>
      </c>
      <c r="G8" t="s">
        <v>33</v>
      </c>
      <c r="H8" t="s">
        <v>19</v>
      </c>
      <c r="I8" t="s">
        <v>34</v>
      </c>
      <c r="J8" t="s">
        <v>35</v>
      </c>
      <c r="K8">
        <v>0</v>
      </c>
      <c r="M8">
        <v>0</v>
      </c>
      <c r="N8">
        <v>0.2182579198136918</v>
      </c>
      <c r="O8">
        <v>0</v>
      </c>
      <c r="P8" t="s">
        <v>22</v>
      </c>
      <c r="T8" t="s">
        <v>82</v>
      </c>
      <c r="U8" t="s">
        <v>80</v>
      </c>
      <c r="V8">
        <v>31</v>
      </c>
      <c r="W8" t="s">
        <v>93</v>
      </c>
    </row>
    <row r="9" spans="1:23" x14ac:dyDescent="0.35">
      <c r="A9">
        <v>4</v>
      </c>
      <c r="B9" t="s">
        <v>36</v>
      </c>
      <c r="C9" s="1">
        <v>43955</v>
      </c>
      <c r="D9">
        <v>87000000</v>
      </c>
      <c r="E9" t="s">
        <v>16</v>
      </c>
      <c r="F9" t="s">
        <v>37</v>
      </c>
      <c r="G9" t="s">
        <v>18</v>
      </c>
      <c r="H9" t="s">
        <v>38</v>
      </c>
      <c r="I9" t="s">
        <v>20</v>
      </c>
      <c r="J9" t="s">
        <v>39</v>
      </c>
      <c r="K9">
        <v>0</v>
      </c>
      <c r="M9">
        <v>0</v>
      </c>
      <c r="N9">
        <v>0.21082279567578011</v>
      </c>
      <c r="O9">
        <v>2</v>
      </c>
      <c r="P9" t="s">
        <v>40</v>
      </c>
      <c r="T9" t="s">
        <v>83</v>
      </c>
      <c r="U9" t="s">
        <v>90</v>
      </c>
      <c r="V9">
        <v>27</v>
      </c>
      <c r="W9" t="s">
        <v>93</v>
      </c>
    </row>
    <row r="10" spans="1:23" x14ac:dyDescent="0.35">
      <c r="A10">
        <v>5</v>
      </c>
      <c r="B10" t="s">
        <v>41</v>
      </c>
      <c r="C10" s="1">
        <v>45199</v>
      </c>
      <c r="D10">
        <v>345000000</v>
      </c>
      <c r="E10" t="s">
        <v>42</v>
      </c>
      <c r="F10" t="s">
        <v>17</v>
      </c>
      <c r="G10" t="s">
        <v>26</v>
      </c>
      <c r="H10" t="s">
        <v>27</v>
      </c>
      <c r="I10" t="s">
        <v>28</v>
      </c>
      <c r="J10" t="s">
        <v>29</v>
      </c>
      <c r="K10">
        <v>1</v>
      </c>
      <c r="L10" t="s">
        <v>43</v>
      </c>
      <c r="M10">
        <v>1</v>
      </c>
      <c r="N10">
        <v>0.86676809416031153</v>
      </c>
      <c r="O10">
        <v>5</v>
      </c>
      <c r="P10" t="s">
        <v>31</v>
      </c>
      <c r="T10" t="s">
        <v>84</v>
      </c>
      <c r="U10" t="s">
        <v>90</v>
      </c>
      <c r="V10">
        <v>44</v>
      </c>
      <c r="W10" t="s">
        <v>92</v>
      </c>
    </row>
    <row r="11" spans="1:23" x14ac:dyDescent="0.35">
      <c r="A11">
        <v>6</v>
      </c>
      <c r="B11" t="s">
        <v>44</v>
      </c>
      <c r="C11" s="1">
        <v>43809</v>
      </c>
      <c r="D11">
        <v>1500000</v>
      </c>
      <c r="E11" t="s">
        <v>16</v>
      </c>
      <c r="F11" t="s">
        <v>17</v>
      </c>
      <c r="G11" t="s">
        <v>18</v>
      </c>
      <c r="H11" t="s">
        <v>19</v>
      </c>
      <c r="I11" t="s">
        <v>20</v>
      </c>
      <c r="J11" t="s">
        <v>45</v>
      </c>
      <c r="K11">
        <v>0</v>
      </c>
      <c r="M11">
        <v>0</v>
      </c>
      <c r="N11">
        <v>0.144569369934688</v>
      </c>
      <c r="O11">
        <v>0</v>
      </c>
      <c r="P11" t="s">
        <v>22</v>
      </c>
      <c r="T11" t="s">
        <v>85</v>
      </c>
      <c r="U11" t="s">
        <v>80</v>
      </c>
      <c r="V11">
        <v>26</v>
      </c>
      <c r="W11" t="s">
        <v>92</v>
      </c>
    </row>
    <row r="12" spans="1:23" x14ac:dyDescent="0.35">
      <c r="A12">
        <v>7</v>
      </c>
      <c r="B12" t="s">
        <v>46</v>
      </c>
      <c r="C12" s="1">
        <v>45309</v>
      </c>
      <c r="D12">
        <v>65000000</v>
      </c>
      <c r="E12" t="s">
        <v>24</v>
      </c>
      <c r="F12" t="s">
        <v>25</v>
      </c>
      <c r="G12" t="s">
        <v>47</v>
      </c>
      <c r="H12" t="s">
        <v>27</v>
      </c>
      <c r="I12" t="s">
        <v>28</v>
      </c>
      <c r="J12" t="s">
        <v>48</v>
      </c>
      <c r="K12">
        <v>1</v>
      </c>
      <c r="L12" t="s">
        <v>49</v>
      </c>
      <c r="M12">
        <v>1</v>
      </c>
      <c r="N12">
        <v>0.74777317547105571</v>
      </c>
      <c r="O12">
        <v>4</v>
      </c>
      <c r="P12" t="s">
        <v>31</v>
      </c>
      <c r="T12" t="s">
        <v>86</v>
      </c>
      <c r="U12" t="s">
        <v>90</v>
      </c>
      <c r="V12">
        <v>35</v>
      </c>
      <c r="W12" t="s">
        <v>91</v>
      </c>
    </row>
    <row r="13" spans="1:23" x14ac:dyDescent="0.35">
      <c r="A13">
        <v>8</v>
      </c>
      <c r="B13" t="s">
        <v>50</v>
      </c>
      <c r="C13" s="1">
        <v>43334</v>
      </c>
      <c r="D13">
        <v>9800000</v>
      </c>
      <c r="E13" t="s">
        <v>16</v>
      </c>
      <c r="F13" t="s">
        <v>37</v>
      </c>
      <c r="G13" t="s">
        <v>33</v>
      </c>
      <c r="H13" t="s">
        <v>38</v>
      </c>
      <c r="I13" t="s">
        <v>34</v>
      </c>
      <c r="J13" t="s">
        <v>51</v>
      </c>
      <c r="K13">
        <v>0</v>
      </c>
      <c r="M13">
        <v>0</v>
      </c>
      <c r="N13">
        <v>0.23232747057410541</v>
      </c>
      <c r="O13">
        <v>0</v>
      </c>
      <c r="P13" t="s">
        <v>22</v>
      </c>
      <c r="T13" t="s">
        <v>87</v>
      </c>
      <c r="U13" t="s">
        <v>90</v>
      </c>
      <c r="V13">
        <v>22</v>
      </c>
      <c r="W13" t="s">
        <v>91</v>
      </c>
    </row>
    <row r="14" spans="1:23" x14ac:dyDescent="0.35">
      <c r="A14">
        <v>9</v>
      </c>
      <c r="B14" t="s">
        <v>52</v>
      </c>
      <c r="C14" s="1">
        <v>44662</v>
      </c>
      <c r="D14">
        <v>120000000</v>
      </c>
      <c r="E14" t="s">
        <v>16</v>
      </c>
      <c r="F14" t="s">
        <v>17</v>
      </c>
      <c r="G14" t="s">
        <v>53</v>
      </c>
      <c r="H14" t="s">
        <v>19</v>
      </c>
      <c r="I14" t="s">
        <v>20</v>
      </c>
      <c r="J14" t="s">
        <v>54</v>
      </c>
      <c r="K14">
        <v>0</v>
      </c>
      <c r="M14">
        <v>0</v>
      </c>
      <c r="N14">
        <v>0.2969749349913301</v>
      </c>
      <c r="O14">
        <v>2</v>
      </c>
      <c r="P14" t="s">
        <v>40</v>
      </c>
      <c r="T14" t="s">
        <v>88</v>
      </c>
      <c r="U14" t="s">
        <v>80</v>
      </c>
      <c r="V14">
        <v>29</v>
      </c>
      <c r="W14" t="s">
        <v>91</v>
      </c>
    </row>
    <row r="15" spans="1:23" x14ac:dyDescent="0.35">
      <c r="A15">
        <v>10</v>
      </c>
      <c r="B15" t="s">
        <v>55</v>
      </c>
      <c r="C15" s="1">
        <v>45265</v>
      </c>
      <c r="D15">
        <v>25000</v>
      </c>
      <c r="E15" t="s">
        <v>16</v>
      </c>
      <c r="F15" t="s">
        <v>17</v>
      </c>
      <c r="G15" t="s">
        <v>18</v>
      </c>
      <c r="H15" t="s">
        <v>19</v>
      </c>
      <c r="I15" t="s">
        <v>20</v>
      </c>
      <c r="J15" t="s">
        <v>21</v>
      </c>
      <c r="K15">
        <v>0</v>
      </c>
      <c r="M15">
        <v>0</v>
      </c>
      <c r="N15">
        <v>8.4592694625555812E-2</v>
      </c>
      <c r="O15">
        <v>0</v>
      </c>
      <c r="P15" t="s">
        <v>22</v>
      </c>
      <c r="T15" t="s">
        <v>89</v>
      </c>
      <c r="U15" t="s">
        <v>80</v>
      </c>
      <c r="V15">
        <v>24</v>
      </c>
      <c r="W15" t="s">
        <v>92</v>
      </c>
    </row>
    <row r="16" spans="1:23" x14ac:dyDescent="0.35">
      <c r="A16">
        <v>11</v>
      </c>
      <c r="B16" t="s">
        <v>56</v>
      </c>
      <c r="C16" s="1">
        <v>44500</v>
      </c>
      <c r="D16">
        <v>450000000</v>
      </c>
      <c r="E16" t="s">
        <v>42</v>
      </c>
      <c r="F16" t="s">
        <v>25</v>
      </c>
      <c r="G16" t="s">
        <v>26</v>
      </c>
      <c r="H16" t="s">
        <v>27</v>
      </c>
      <c r="I16" t="s">
        <v>28</v>
      </c>
      <c r="J16" t="s">
        <v>29</v>
      </c>
      <c r="K16">
        <v>1</v>
      </c>
      <c r="L16" t="s">
        <v>57</v>
      </c>
      <c r="M16">
        <v>1</v>
      </c>
      <c r="N16">
        <v>0.90973789950104644</v>
      </c>
      <c r="O16">
        <v>6</v>
      </c>
      <c r="P16" t="s">
        <v>31</v>
      </c>
    </row>
    <row r="17" spans="1:16" x14ac:dyDescent="0.35">
      <c r="A17">
        <v>12</v>
      </c>
      <c r="B17" t="s">
        <v>58</v>
      </c>
      <c r="C17" s="1">
        <v>43875</v>
      </c>
      <c r="D17">
        <v>7200000</v>
      </c>
      <c r="E17" t="s">
        <v>16</v>
      </c>
      <c r="F17" t="s">
        <v>17</v>
      </c>
      <c r="G17" t="s">
        <v>33</v>
      </c>
      <c r="H17" t="s">
        <v>38</v>
      </c>
      <c r="I17" t="s">
        <v>20</v>
      </c>
      <c r="J17" t="s">
        <v>51</v>
      </c>
      <c r="K17">
        <v>0</v>
      </c>
      <c r="M17">
        <v>0</v>
      </c>
      <c r="N17">
        <v>0.1875420113614879</v>
      </c>
      <c r="O17">
        <v>0</v>
      </c>
      <c r="P17" t="s">
        <v>22</v>
      </c>
    </row>
    <row r="18" spans="1:16" x14ac:dyDescent="0.35">
      <c r="A18">
        <v>13</v>
      </c>
      <c r="B18" t="s">
        <v>59</v>
      </c>
      <c r="C18" s="1">
        <v>43625</v>
      </c>
      <c r="D18">
        <v>3100000</v>
      </c>
      <c r="E18" t="s">
        <v>16</v>
      </c>
      <c r="F18" t="s">
        <v>37</v>
      </c>
      <c r="G18" t="s">
        <v>18</v>
      </c>
      <c r="H18" t="s">
        <v>19</v>
      </c>
      <c r="I18" t="s">
        <v>34</v>
      </c>
      <c r="J18" t="s">
        <v>60</v>
      </c>
      <c r="K18">
        <v>0</v>
      </c>
      <c r="M18">
        <v>0</v>
      </c>
      <c r="N18">
        <v>0.1432489626847214</v>
      </c>
      <c r="O18">
        <v>0</v>
      </c>
      <c r="P18" t="s">
        <v>22</v>
      </c>
    </row>
    <row r="19" spans="1:16" x14ac:dyDescent="0.35">
      <c r="A19">
        <v>14</v>
      </c>
      <c r="B19" t="s">
        <v>61</v>
      </c>
      <c r="C19" s="1">
        <v>45350</v>
      </c>
      <c r="D19">
        <v>95000000</v>
      </c>
      <c r="E19" t="s">
        <v>24</v>
      </c>
      <c r="F19" t="s">
        <v>17</v>
      </c>
      <c r="G19" t="s">
        <v>47</v>
      </c>
      <c r="H19" t="s">
        <v>27</v>
      </c>
      <c r="I19" t="s">
        <v>20</v>
      </c>
      <c r="J19" t="s">
        <v>39</v>
      </c>
      <c r="K19">
        <v>1</v>
      </c>
      <c r="L19" t="s">
        <v>49</v>
      </c>
      <c r="M19">
        <v>1</v>
      </c>
      <c r="N19">
        <v>0.72579293784830778</v>
      </c>
      <c r="O19">
        <v>3</v>
      </c>
      <c r="P19" t="s">
        <v>31</v>
      </c>
    </row>
    <row r="20" spans="1:16" x14ac:dyDescent="0.35">
      <c r="A20">
        <v>15</v>
      </c>
      <c r="B20" t="s">
        <v>62</v>
      </c>
      <c r="C20" s="1">
        <v>43056</v>
      </c>
      <c r="D20">
        <v>18500000</v>
      </c>
      <c r="E20" t="s">
        <v>16</v>
      </c>
      <c r="F20" t="s">
        <v>17</v>
      </c>
      <c r="G20" t="s">
        <v>53</v>
      </c>
      <c r="H20" t="s">
        <v>19</v>
      </c>
      <c r="I20" t="s">
        <v>34</v>
      </c>
      <c r="J20" t="s">
        <v>54</v>
      </c>
      <c r="K20">
        <v>0</v>
      </c>
      <c r="M20">
        <v>0</v>
      </c>
      <c r="N20">
        <v>0.23006954917694919</v>
      </c>
      <c r="O20">
        <v>0</v>
      </c>
      <c r="P20" t="s">
        <v>22</v>
      </c>
    </row>
    <row r="21" spans="1:16" x14ac:dyDescent="0.35">
      <c r="A21">
        <v>16</v>
      </c>
      <c r="B21" t="s">
        <v>63</v>
      </c>
      <c r="C21" s="1">
        <v>45139</v>
      </c>
      <c r="D21">
        <v>550000</v>
      </c>
      <c r="E21" t="s">
        <v>16</v>
      </c>
      <c r="F21" t="s">
        <v>17</v>
      </c>
      <c r="G21" t="s">
        <v>33</v>
      </c>
      <c r="H21" t="s">
        <v>38</v>
      </c>
      <c r="I21" t="s">
        <v>28</v>
      </c>
      <c r="J21" t="s">
        <v>21</v>
      </c>
      <c r="K21">
        <v>0</v>
      </c>
      <c r="M21">
        <v>0</v>
      </c>
      <c r="N21">
        <v>0.13531767791896851</v>
      </c>
      <c r="O21">
        <v>0</v>
      </c>
      <c r="P21" t="s">
        <v>22</v>
      </c>
    </row>
    <row r="22" spans="1:16" x14ac:dyDescent="0.35">
      <c r="A22">
        <v>17</v>
      </c>
      <c r="B22" t="s">
        <v>64</v>
      </c>
      <c r="C22" s="1">
        <v>44920</v>
      </c>
      <c r="D22">
        <v>267000000</v>
      </c>
      <c r="E22" t="s">
        <v>42</v>
      </c>
      <c r="F22" t="s">
        <v>25</v>
      </c>
      <c r="G22" t="s">
        <v>26</v>
      </c>
      <c r="H22" t="s">
        <v>27</v>
      </c>
      <c r="I22" t="s">
        <v>28</v>
      </c>
      <c r="J22" t="s">
        <v>29</v>
      </c>
      <c r="K22">
        <v>1</v>
      </c>
      <c r="L22" t="s">
        <v>65</v>
      </c>
      <c r="M22">
        <v>1</v>
      </c>
      <c r="N22">
        <v>0.86495476120526815</v>
      </c>
      <c r="O22">
        <v>6</v>
      </c>
      <c r="P22" t="s">
        <v>31</v>
      </c>
    </row>
    <row r="23" spans="1:16" x14ac:dyDescent="0.35">
      <c r="A23">
        <v>18</v>
      </c>
      <c r="B23" t="s">
        <v>66</v>
      </c>
      <c r="C23" s="1">
        <v>44208</v>
      </c>
      <c r="D23">
        <v>4500000</v>
      </c>
      <c r="E23" t="s">
        <v>16</v>
      </c>
      <c r="F23" t="s">
        <v>37</v>
      </c>
      <c r="G23" t="s">
        <v>18</v>
      </c>
      <c r="H23" t="s">
        <v>19</v>
      </c>
      <c r="I23" t="s">
        <v>20</v>
      </c>
      <c r="J23" t="s">
        <v>60</v>
      </c>
      <c r="K23">
        <v>0</v>
      </c>
      <c r="M23">
        <v>0</v>
      </c>
      <c r="N23">
        <v>0.17301876826592971</v>
      </c>
      <c r="O23">
        <v>0</v>
      </c>
      <c r="P23" t="s">
        <v>22</v>
      </c>
    </row>
    <row r="24" spans="1:16" x14ac:dyDescent="0.35">
      <c r="A24">
        <v>19</v>
      </c>
      <c r="B24" t="s">
        <v>67</v>
      </c>
      <c r="C24" s="1">
        <v>44081</v>
      </c>
      <c r="D24">
        <v>11000000</v>
      </c>
      <c r="E24" t="s">
        <v>16</v>
      </c>
      <c r="F24" t="s">
        <v>17</v>
      </c>
      <c r="G24" t="s">
        <v>33</v>
      </c>
      <c r="H24" t="s">
        <v>38</v>
      </c>
      <c r="I24" t="s">
        <v>34</v>
      </c>
      <c r="J24" t="s">
        <v>51</v>
      </c>
      <c r="K24">
        <v>0</v>
      </c>
      <c r="M24">
        <v>0</v>
      </c>
      <c r="N24">
        <v>0.15622732380702051</v>
      </c>
      <c r="O24">
        <v>0</v>
      </c>
      <c r="P24" t="s">
        <v>22</v>
      </c>
    </row>
    <row r="25" spans="1:16" x14ac:dyDescent="0.35">
      <c r="A25">
        <v>20</v>
      </c>
      <c r="B25" t="s">
        <v>68</v>
      </c>
      <c r="C25" s="1">
        <v>45066</v>
      </c>
      <c r="D25">
        <v>76000000</v>
      </c>
      <c r="E25" t="s">
        <v>24</v>
      </c>
      <c r="F25" t="s">
        <v>25</v>
      </c>
      <c r="G25" t="s">
        <v>47</v>
      </c>
      <c r="H25" t="s">
        <v>27</v>
      </c>
      <c r="I25" t="s">
        <v>28</v>
      </c>
      <c r="J25" t="s">
        <v>48</v>
      </c>
      <c r="K25">
        <v>1</v>
      </c>
      <c r="L25" t="s">
        <v>69</v>
      </c>
      <c r="M25">
        <v>1</v>
      </c>
      <c r="N25">
        <v>0.7435743874255013</v>
      </c>
      <c r="O25">
        <v>4</v>
      </c>
      <c r="P25" t="s">
        <v>31</v>
      </c>
    </row>
    <row r="26" spans="1:16" x14ac:dyDescent="0.35">
      <c r="A26">
        <v>21</v>
      </c>
      <c r="B26" t="s">
        <v>70</v>
      </c>
      <c r="C26" s="1">
        <v>45214</v>
      </c>
      <c r="D26">
        <v>3200000</v>
      </c>
      <c r="E26" t="s">
        <v>16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>
        <v>0</v>
      </c>
      <c r="M26">
        <v>0</v>
      </c>
      <c r="N26">
        <v>0.17489979799616581</v>
      </c>
      <c r="O26">
        <v>0</v>
      </c>
      <c r="P26" t="s">
        <v>22</v>
      </c>
    </row>
    <row r="27" spans="1:16" x14ac:dyDescent="0.35">
      <c r="A27">
        <v>22</v>
      </c>
      <c r="B27" t="s">
        <v>71</v>
      </c>
      <c r="C27" s="1">
        <v>44795</v>
      </c>
      <c r="D27">
        <v>189000000</v>
      </c>
      <c r="E27" t="s">
        <v>42</v>
      </c>
      <c r="F27" t="s">
        <v>25</v>
      </c>
      <c r="G27" t="s">
        <v>26</v>
      </c>
      <c r="H27" t="s">
        <v>27</v>
      </c>
      <c r="I27" t="s">
        <v>28</v>
      </c>
      <c r="J27" t="s">
        <v>29</v>
      </c>
      <c r="K27">
        <v>1</v>
      </c>
      <c r="L27" t="s">
        <v>69</v>
      </c>
      <c r="M27">
        <v>1</v>
      </c>
      <c r="N27">
        <v>0.82550781062710032</v>
      </c>
      <c r="O27">
        <v>6</v>
      </c>
      <c r="P27" t="s">
        <v>31</v>
      </c>
    </row>
    <row r="28" spans="1:16" x14ac:dyDescent="0.35">
      <c r="A28">
        <v>23</v>
      </c>
      <c r="B28" t="s">
        <v>72</v>
      </c>
      <c r="C28" s="1">
        <v>44297</v>
      </c>
      <c r="D28">
        <v>8900000</v>
      </c>
      <c r="E28" t="s">
        <v>16</v>
      </c>
      <c r="F28" t="s">
        <v>17</v>
      </c>
      <c r="G28" t="s">
        <v>33</v>
      </c>
      <c r="H28" t="s">
        <v>38</v>
      </c>
      <c r="I28" t="s">
        <v>34</v>
      </c>
      <c r="J28" t="s">
        <v>51</v>
      </c>
      <c r="K28">
        <v>0</v>
      </c>
      <c r="M28">
        <v>0</v>
      </c>
      <c r="N28">
        <v>0.16787619541715951</v>
      </c>
      <c r="O28">
        <v>0</v>
      </c>
      <c r="P28" t="s">
        <v>22</v>
      </c>
    </row>
    <row r="29" spans="1:16" x14ac:dyDescent="0.35">
      <c r="A29">
        <v>24</v>
      </c>
      <c r="B29" t="s">
        <v>73</v>
      </c>
      <c r="C29" s="1">
        <v>44031</v>
      </c>
      <c r="D29">
        <v>67000000</v>
      </c>
      <c r="E29" t="s">
        <v>16</v>
      </c>
      <c r="F29" t="s">
        <v>37</v>
      </c>
      <c r="G29" t="s">
        <v>18</v>
      </c>
      <c r="H29" t="s">
        <v>19</v>
      </c>
      <c r="I29" t="s">
        <v>20</v>
      </c>
      <c r="J29" t="s">
        <v>39</v>
      </c>
      <c r="K29">
        <v>0</v>
      </c>
      <c r="M29">
        <v>0</v>
      </c>
      <c r="N29">
        <v>0.25415287678924509</v>
      </c>
      <c r="O29">
        <v>2</v>
      </c>
      <c r="P29" t="s">
        <v>40</v>
      </c>
    </row>
    <row r="30" spans="1:16" x14ac:dyDescent="0.35">
      <c r="A30">
        <v>25</v>
      </c>
      <c r="B30" t="s">
        <v>74</v>
      </c>
      <c r="C30" s="1">
        <v>45260</v>
      </c>
      <c r="D30">
        <v>412000000</v>
      </c>
      <c r="E30" t="s">
        <v>24</v>
      </c>
      <c r="F30" t="s">
        <v>25</v>
      </c>
      <c r="G30" t="s">
        <v>26</v>
      </c>
      <c r="H30" t="s">
        <v>27</v>
      </c>
      <c r="I30" t="s">
        <v>28</v>
      </c>
      <c r="J30" t="s">
        <v>29</v>
      </c>
      <c r="K30">
        <v>1</v>
      </c>
      <c r="L30" t="s">
        <v>43</v>
      </c>
      <c r="M30">
        <v>1</v>
      </c>
      <c r="N30">
        <v>0.91971872681831612</v>
      </c>
      <c r="O30">
        <v>4</v>
      </c>
      <c r="P30" t="s">
        <v>31</v>
      </c>
    </row>
  </sheetData>
  <mergeCells count="1">
    <mergeCell ref="A1:XFD3"/>
  </mergeCells>
  <pageMargins left="0.75" right="0.75" top="1" bottom="1" header="0.5" footer="0.5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7C92-1756-4BE1-87E2-6715F9EBAE8B}">
  <dimension ref="A1:C18"/>
  <sheetViews>
    <sheetView workbookViewId="0">
      <selection activeCell="A8" sqref="A8"/>
    </sheetView>
  </sheetViews>
  <sheetFormatPr defaultRowHeight="14.5" x14ac:dyDescent="0.35"/>
  <sheetData>
    <row r="1" spans="1:3" x14ac:dyDescent="0.35">
      <c r="A1" s="4"/>
      <c r="B1" s="5"/>
      <c r="C1" s="6"/>
    </row>
    <row r="2" spans="1:3" x14ac:dyDescent="0.35">
      <c r="A2" s="7"/>
      <c r="B2" s="8"/>
      <c r="C2" s="9"/>
    </row>
    <row r="3" spans="1:3" x14ac:dyDescent="0.35">
      <c r="A3" s="7"/>
      <c r="B3" s="8"/>
      <c r="C3" s="9"/>
    </row>
    <row r="4" spans="1:3" x14ac:dyDescent="0.35">
      <c r="A4" s="7"/>
      <c r="B4" s="8"/>
      <c r="C4" s="9"/>
    </row>
    <row r="5" spans="1:3" x14ac:dyDescent="0.35">
      <c r="A5" s="7"/>
      <c r="B5" s="8"/>
      <c r="C5" s="9"/>
    </row>
    <row r="6" spans="1:3" x14ac:dyDescent="0.35">
      <c r="A6" s="7"/>
      <c r="B6" s="8"/>
      <c r="C6" s="9"/>
    </row>
    <row r="7" spans="1:3" x14ac:dyDescent="0.35">
      <c r="A7" s="7"/>
      <c r="B7" s="8"/>
      <c r="C7" s="9"/>
    </row>
    <row r="8" spans="1:3" x14ac:dyDescent="0.35">
      <c r="A8" s="7"/>
      <c r="B8" s="8"/>
      <c r="C8" s="9"/>
    </row>
    <row r="9" spans="1:3" x14ac:dyDescent="0.35">
      <c r="A9" s="7"/>
      <c r="B9" s="8"/>
      <c r="C9" s="9"/>
    </row>
    <row r="10" spans="1:3" x14ac:dyDescent="0.35">
      <c r="A10" s="7"/>
      <c r="B10" s="8"/>
      <c r="C10" s="9"/>
    </row>
    <row r="11" spans="1:3" x14ac:dyDescent="0.35">
      <c r="A11" s="7"/>
      <c r="B11" s="8"/>
      <c r="C11" s="9"/>
    </row>
    <row r="12" spans="1:3" x14ac:dyDescent="0.35">
      <c r="A12" s="7"/>
      <c r="B12" s="8"/>
      <c r="C12" s="9"/>
    </row>
    <row r="13" spans="1:3" x14ac:dyDescent="0.35">
      <c r="A13" s="7"/>
      <c r="B13" s="8"/>
      <c r="C13" s="9"/>
    </row>
    <row r="14" spans="1:3" x14ac:dyDescent="0.35">
      <c r="A14" s="7"/>
      <c r="B14" s="8"/>
      <c r="C14" s="9"/>
    </row>
    <row r="15" spans="1:3" x14ac:dyDescent="0.35">
      <c r="A15" s="7"/>
      <c r="B15" s="8"/>
      <c r="C15" s="9"/>
    </row>
    <row r="16" spans="1:3" x14ac:dyDescent="0.35">
      <c r="A16" s="7"/>
      <c r="B16" s="8"/>
      <c r="C16" s="9"/>
    </row>
    <row r="17" spans="1:3" x14ac:dyDescent="0.35">
      <c r="A17" s="7"/>
      <c r="B17" s="8"/>
      <c r="C17" s="9"/>
    </row>
    <row r="18" spans="1:3" x14ac:dyDescent="0.35">
      <c r="A18" s="10"/>
      <c r="B18" s="11"/>
      <c r="C18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474D-62B7-4248-9B8D-BF4D1CBA5779}">
  <dimension ref="A1"/>
  <sheetViews>
    <sheetView showGridLines="0"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375022F-B7D7-4C43-85FE-F3D461C328E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Pivort</vt:lpstr>
      <vt:lpstr>Customer Center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bastan sy</cp:lastModifiedBy>
  <dcterms:created xsi:type="dcterms:W3CDTF">2025-10-06T12:23:35Z</dcterms:created>
  <dcterms:modified xsi:type="dcterms:W3CDTF">2026-03-22T11:38:56Z</dcterms:modified>
</cp:coreProperties>
</file>